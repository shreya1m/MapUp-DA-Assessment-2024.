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MapUp-DA-Assessment-2024\submissions\"/>
    </mc:Choice>
  </mc:AlternateContent>
  <xr:revisionPtr revIDLastSave="0" documentId="8_{265F6B0F-F7C5-45F9-B863-817A753063C3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C22" i="19"/>
  <c r="F30" i="18"/>
  <c r="E30" i="18"/>
  <c r="D30" i="18"/>
  <c r="C30" i="18"/>
  <c r="B30" i="18"/>
  <c r="F29" i="18"/>
  <c r="E29" i="18"/>
  <c r="D29" i="18"/>
  <c r="C29" i="18"/>
  <c r="B29" i="18"/>
  <c r="B28" i="18"/>
  <c r="F28" i="18"/>
  <c r="E28" i="18"/>
  <c r="D28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D6" i="18"/>
  <c r="C6" i="18"/>
  <c r="E6" i="18"/>
  <c r="B6" i="18"/>
  <c r="C5" i="15"/>
</calcChain>
</file>

<file path=xl/sharedStrings.xml><?xml version="1.0" encoding="utf-8"?>
<sst xmlns="http://schemas.openxmlformats.org/spreadsheetml/2006/main" count="408" uniqueCount="186">
  <si>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</si>
  <si>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</si>
  <si>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</si>
  <si>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</si>
  <si>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</si>
  <si>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</si>
  <si>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</si>
  <si>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</si>
  <si>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</si>
  <si>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</si>
  <si>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</si>
  <si>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</si>
  <si>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</si>
  <si>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</si>
  <si>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</si>
  <si>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</si>
  <si>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</si>
  <si>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</si>
  <si>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</si>
  <si>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</si>
  <si>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</si>
  <si>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</si>
  <si>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</si>
  <si>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</si>
  <si>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</si>
  <si>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</si>
  <si>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</si>
  <si>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</si>
  <si>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</si>
  <si>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</si>
  <si>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</si>
  <si>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</si>
  <si>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</si>
  <si>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</si>
  <si>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</si>
  <si>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</si>
  <si>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</si>
  <si>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</si>
  <si>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</si>
  <si>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</si>
  <si>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</si>
  <si>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</si>
  <si>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</si>
  <si>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</si>
  <si>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</si>
  <si>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</si>
  <si>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</si>
  <si>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</si>
  <si>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</si>
  <si>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</si>
  <si>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</si>
  <si>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</si>
  <si>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</si>
  <si>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</si>
  <si>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</si>
  <si>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</si>
  <si>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</si>
  <si>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</si>
  <si>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</si>
  <si>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</si>
  <si>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</si>
  <si>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</si>
  <si>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</si>
  <si>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</si>
  <si>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</si>
  <si>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</si>
  <si>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</si>
  <si>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</si>
  <si>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</si>
  <si>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</si>
  <si>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</si>
  <si>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</si>
  <si>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</si>
  <si>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</si>
  <si>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</si>
  <si>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</si>
  <si>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</si>
  <si>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</si>
  <si>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</si>
  <si>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</si>
  <si>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</si>
  <si>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</si>
  <si>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</si>
  <si>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</si>
  <si>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</si>
  <si>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</si>
  <si>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</si>
  <si>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</si>
  <si>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</si>
  <si>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</si>
  <si>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</si>
  <si>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</si>
  <si>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</si>
  <si>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</si>
  <si>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</si>
  <si>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</si>
  <si>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</si>
  <si>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</si>
  <si>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</si>
  <si>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</si>
  <si>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</si>
  <si>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</si>
  <si>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</si>
  <si>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</si>
  <si>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</si>
  <si>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</si>
  <si>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</si>
  <si>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</si>
  <si>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</si>
  <si>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</si>
  <si>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</si>
  <si>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</si>
  <si>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</si>
  <si>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</si>
  <si>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</si>
  <si>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</si>
  <si>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</si>
  <si>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</si>
  <si>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</si>
  <si>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</si>
  <si>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</si>
  <si>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</si>
  <si>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</si>
  <si>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</si>
  <si>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</si>
  <si>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</si>
  <si>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</si>
  <si>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</si>
  <si>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</si>
  <si>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</si>
  <si>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</si>
  <si>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</si>
  <si>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</si>
  <si>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</si>
  <si>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</si>
  <si>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</si>
  <si>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</si>
  <si>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</si>
  <si>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</si>
  <si>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</si>
  <si>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</si>
  <si>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</si>
  <si>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</si>
  <si>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</si>
  <si>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</si>
  <si>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</si>
  <si>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</si>
  <si>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</si>
  <si>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</si>
  <si>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</si>
  <si>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</si>
  <si>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</si>
  <si>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</si>
  <si>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</si>
  <si>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</si>
  <si>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</si>
  <si>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</si>
  <si>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</si>
  <si>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</si>
  <si>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</si>
  <si>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</si>
  <si>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</si>
  <si>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</si>
  <si>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</si>
  <si>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</si>
  <si>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</si>
  <si>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</si>
  <si>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</si>
  <si>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</si>
  <si>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</si>
  <si>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</si>
  <si>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</si>
  <si>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</si>
  <si>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</si>
  <si>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</si>
  <si>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</si>
  <si>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</si>
  <si>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 to columns</t>
  </si>
  <si>
    <t>I used text to columns delimited by '-'.</t>
  </si>
  <si>
    <t>Find and Replace</t>
  </si>
  <si>
    <t>Find '#N/A' and then Replace it with '20' and using sum formula sum the range.</t>
  </si>
  <si>
    <t>name_1_new</t>
  </si>
  <si>
    <t>name_2_new</t>
  </si>
  <si>
    <t>VLOOKUP , INDEX and MATCH</t>
  </si>
  <si>
    <t xml:space="preserve">Used vlookup for creating alphabet based columns </t>
  </si>
  <si>
    <t>Used index and match to match distance from name_1_new and name_2_new and whenever there is a match return that index.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</si>
</sst>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9" sqref="A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P1" zoomScaleNormal="100" workbookViewId="0">
      <pane ySplit="1" topLeftCell="A7" activePane="bottomLeft" state="frozen"/>
      <selection activeCell="K1" sqref="K1"/>
      <selection pane="bottomLeft" activeCell="X1" sqref="X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23.664062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2" priority="4"/>
  </conditionalFormatting>
  <conditionalFormatting sqref="A2:A40 C2:X40">
    <cfRule type="cellIs" dxfId="1" priority="2" operator="equal">
      <formula>-1</formula>
    </cfRule>
  </conditionalFormatting>
  <conditionalFormatting sqref="A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SUMIF(Dataset!H:H,"&gt;20",Dataset!H:H)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VLOOKUP(A6,Dataset!A1:S40,7,FALSE)</f>
        <v>2.7</v>
      </c>
      <c r="C6" s="12">
        <f>VLOOKUP(A6,Dataset!A1:S40,14,FALSE)</f>
        <v>7.6</v>
      </c>
      <c r="D6" s="12">
        <f>VLOOKUP(A6,Dataset!A1:S40,18,FALSE)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 x14ac:dyDescent="0.3">
      <c r="A7" s="7" t="s">
        <v>4</v>
      </c>
      <c r="B7" s="12">
        <f>VLOOKUP(A7,Dataset!A2:S41,7,FALSE)</f>
        <v>2.7</v>
      </c>
      <c r="C7" s="12">
        <f>VLOOKUP(A7,Dataset!A2:S41,14,FALSE)</f>
        <v>7.6</v>
      </c>
      <c r="D7" s="12">
        <f>VLOOKUP(A7,Dataset!A2:S41,18,FALSE)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 x14ac:dyDescent="0.3">
      <c r="A8" s="7" t="s">
        <v>7</v>
      </c>
      <c r="B8" s="12">
        <f>VLOOKUP(A8,Dataset!A3:S42,7,FALSE)</f>
        <v>3.6</v>
      </c>
      <c r="C8" s="12">
        <f>VLOOKUP(A8,Dataset!A3:S42,14,FALSE)</f>
        <v>11.1</v>
      </c>
      <c r="D8" s="12">
        <f>VLOOKUP(A8,Dataset!A3:S42,18,FALSE)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 x14ac:dyDescent="0.3">
      <c r="A9" s="7" t="s">
        <v>8</v>
      </c>
      <c r="B9" s="12">
        <f>VLOOKUP(A9,Dataset!A4:S43,7,FALSE)</f>
        <v>4.9000000000000004</v>
      </c>
      <c r="C9" s="12">
        <f>VLOOKUP(A9,Dataset!A4:S43,14,FALSE)</f>
        <v>13.3</v>
      </c>
      <c r="D9" s="12">
        <f>VLOOKUP(A9,Dataset!A4:S43,18,FALSE)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 x14ac:dyDescent="0.3">
      <c r="A10" s="7" t="s">
        <v>11</v>
      </c>
      <c r="B10" s="12">
        <f>VLOOKUP(A10,Dataset!A5:S44,7,FALSE)</f>
        <v>9.4</v>
      </c>
      <c r="C10" s="12">
        <f>VLOOKUP(A10,Dataset!A5:S44,14,FALSE)</f>
        <v>28.3</v>
      </c>
      <c r="D10" s="12">
        <f>VLOOKUP(A10,Dataset!A5:S44,18,FALSE)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 x14ac:dyDescent="0.3">
      <c r="A11" s="7" t="s">
        <v>12</v>
      </c>
      <c r="B11" s="12">
        <f>VLOOKUP(A11,Dataset!A6:S45,7,FALSE)</f>
        <v>11.6</v>
      </c>
      <c r="C11" s="12">
        <f>VLOOKUP(A11,Dataset!A6:S45,14,FALSE)</f>
        <v>35.200000000000003</v>
      </c>
      <c r="D11" s="12">
        <f>VLOOKUP(A11,Dataset!A6:S45,18,FALSE)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 x14ac:dyDescent="0.3">
      <c r="A12" s="7" t="s">
        <v>14</v>
      </c>
      <c r="B12" s="12">
        <f>VLOOKUP(A12,Dataset!A7:S46,7,FALSE)</f>
        <v>18.399999999999999</v>
      </c>
      <c r="C12" s="12">
        <f>VLOOKUP(A12,Dataset!A7:S46,14,FALSE)</f>
        <v>55.6</v>
      </c>
      <c r="D12" s="12">
        <f>VLOOKUP(A12,Dataset!A7:S46,18,FALSE)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 x14ac:dyDescent="0.3">
      <c r="A13" s="7" t="s">
        <v>15</v>
      </c>
      <c r="B13" s="12">
        <f>VLOOKUP(A13,Dataset!A8:S47,7,FALSE)</f>
        <v>0</v>
      </c>
      <c r="C13" s="12">
        <f>VLOOKUP(A13,Dataset!A8:S47,14,FALSE)</f>
        <v>0</v>
      </c>
      <c r="D13" s="12">
        <f>VLOOKUP(A13,Dataset!A8:S47,18,FALSE)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 x14ac:dyDescent="0.3">
      <c r="A14" s="7" t="s">
        <v>16</v>
      </c>
      <c r="B14" s="12">
        <f>VLOOKUP(A14,Dataset!A9:S48,7,FALSE)</f>
        <v>21.9</v>
      </c>
      <c r="C14" s="12">
        <f>VLOOKUP(A14,Dataset!A9:S48,14,FALSE)</f>
        <v>61.5</v>
      </c>
      <c r="D14" s="12">
        <f>VLOOKUP(A14,Dataset!A9:S48,18,FALSE)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 x14ac:dyDescent="0.3">
      <c r="A15" s="7" t="s">
        <v>18</v>
      </c>
      <c r="B15" s="12">
        <f>VLOOKUP(A15,Dataset!A10:S49,7,FALSE)</f>
        <v>26.8</v>
      </c>
      <c r="C15" s="12">
        <f>VLOOKUP(A15,Dataset!A10:S49,14,FALSE)</f>
        <v>79.599999999999994</v>
      </c>
      <c r="D15" s="12">
        <f>VLOOKUP(A15,Dataset!A10:S49,18,FALSE)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 x14ac:dyDescent="0.3">
      <c r="A16" s="7" t="s">
        <v>20</v>
      </c>
      <c r="B16" s="12">
        <f>VLOOKUP(A16,Dataset!A11:S50,7,FALSE)</f>
        <v>28.5</v>
      </c>
      <c r="C16" s="12">
        <f>VLOOKUP(A16,Dataset!A11:S50,14,FALSE)</f>
        <v>85.4</v>
      </c>
      <c r="D16" s="12">
        <f>VLOOKUP(A16,Dataset!A11:S50,18,FALSE)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 x14ac:dyDescent="0.3">
      <c r="A17" s="7" t="s">
        <v>22</v>
      </c>
      <c r="B17" s="12">
        <f>VLOOKUP(A17,Dataset!A12:S51,7,FALSE)</f>
        <v>30.7</v>
      </c>
      <c r="C17" s="12">
        <f>VLOOKUP(A17,Dataset!A12:S51,14,FALSE)</f>
        <v>92.1</v>
      </c>
      <c r="D17" s="12">
        <f>VLOOKUP(A17,Dataset!A12:S51,18,FALSE)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 x14ac:dyDescent="0.3">
      <c r="A18" s="7" t="s">
        <v>23</v>
      </c>
      <c r="B18" s="12">
        <f>VLOOKUP(A18,Dataset!A13:S52,7,FALSE)</f>
        <v>33.799999999999997</v>
      </c>
      <c r="C18" s="12">
        <f>VLOOKUP(A18,Dataset!A13:S52,14,FALSE)</f>
        <v>101.3</v>
      </c>
      <c r="D18" s="12">
        <f>VLOOKUP(A18,Dataset!A13:S52,18,FALSE)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 x14ac:dyDescent="0.3">
      <c r="A19" s="7" t="s">
        <v>24</v>
      </c>
      <c r="B19" s="12">
        <f>VLOOKUP(A19,Dataset!A14:S53,7,FALSE)</f>
        <v>34.700000000000003</v>
      </c>
      <c r="C19" s="12">
        <f>VLOOKUP(A19,Dataset!A14:S53,14,FALSE)</f>
        <v>106.1</v>
      </c>
      <c r="D19" s="12">
        <f>VLOOKUP(A19,Dataset!A14:S53,18,FALSE)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 x14ac:dyDescent="0.3">
      <c r="A20" s="7" t="s">
        <v>28</v>
      </c>
      <c r="B20" s="12">
        <f>VLOOKUP(A20,Dataset!A15:S54,7,FALSE)</f>
        <v>0</v>
      </c>
      <c r="C20" s="12">
        <f>VLOOKUP(A20,Dataset!A15:S54,14,FALSE)</f>
        <v>0</v>
      </c>
      <c r="D20" s="12">
        <f>VLOOKUP(A20,Dataset!A15:S54,18,FALSE)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 x14ac:dyDescent="0.3">
      <c r="A21" s="7" t="s">
        <v>57</v>
      </c>
      <c r="B21" s="12">
        <f>VLOOKUP(A21,Dataset!A16:S55,7,FALSE)</f>
        <v>41.3</v>
      </c>
      <c r="C21" s="12">
        <f>VLOOKUP(A21,Dataset!A16:S55,14,FALSE)</f>
        <v>124.4</v>
      </c>
      <c r="D21" s="12">
        <f>VLOOKUP(A21,Dataset!A16:S55,18,FALSE)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 x14ac:dyDescent="0.3">
      <c r="A22" s="7" t="s">
        <v>58</v>
      </c>
      <c r="B22" s="12">
        <f>VLOOKUP(A22,Dataset!A17:S56,7,FALSE)</f>
        <v>-1</v>
      </c>
      <c r="C22" s="12">
        <f>VLOOKUP(A22,Dataset!A17:S56,14,FALSE)</f>
        <v>-1</v>
      </c>
      <c r="D22" s="12">
        <f>VLOOKUP(A22,Dataset!A17:S56,18,FALSE)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 x14ac:dyDescent="0.3">
      <c r="A23" s="7" t="s">
        <v>31</v>
      </c>
      <c r="B23" s="12">
        <f>VLOOKUP(A23,Dataset!A18:S57,7,FALSE)</f>
        <v>45</v>
      </c>
      <c r="C23" s="12">
        <f>VLOOKUP(A23,Dataset!A18:S57,14,FALSE)</f>
        <v>133.4</v>
      </c>
      <c r="D23" s="12">
        <f>VLOOKUP(A23,Dataset!A18:S57,18,FALSE)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 x14ac:dyDescent="0.3">
      <c r="A24" s="7" t="s">
        <v>32</v>
      </c>
      <c r="B24" s="12">
        <f>VLOOKUP(A24,Dataset!A19:S58,7,FALSE)</f>
        <v>-1</v>
      </c>
      <c r="C24" s="12">
        <f>VLOOKUP(A24,Dataset!A19:S58,14,FALSE)</f>
        <v>-1</v>
      </c>
      <c r="D24" s="12">
        <f>VLOOKUP(A24,Dataset!A19:S58,18,FALSE)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 x14ac:dyDescent="0.3">
      <c r="A25" s="7" t="s">
        <v>34</v>
      </c>
      <c r="B25" s="12">
        <f>VLOOKUP(A25,Dataset!A20:S59,7,FALSE)</f>
        <v>43.3</v>
      </c>
      <c r="C25" s="12">
        <f>VLOOKUP(A25,Dataset!A20:S59,14,FALSE)</f>
        <v>128.6</v>
      </c>
      <c r="D25" s="12">
        <f>VLOOKUP(A25,Dataset!A20:S59,18,FALSE)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 x14ac:dyDescent="0.3">
      <c r="A26" s="7" t="s">
        <v>37</v>
      </c>
      <c r="B26" s="12">
        <f>VLOOKUP(A26,Dataset!A21:S60,7,FALSE)</f>
        <v>49.1</v>
      </c>
      <c r="C26" s="12">
        <f>VLOOKUP(A26,Dataset!A21:S60,14,FALSE)</f>
        <v>146.80000000000001</v>
      </c>
      <c r="D26" s="12">
        <f>VLOOKUP(A26,Dataset!A21:S60,18,FALSE)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 x14ac:dyDescent="0.3">
      <c r="A27" s="7" t="s">
        <v>39</v>
      </c>
      <c r="B27" s="12">
        <f>VLOOKUP(A27,Dataset!A22:S61,7,FALSE)</f>
        <v>51.8</v>
      </c>
      <c r="C27" s="12">
        <f>VLOOKUP(A27,Dataset!A22:S61,14,FALSE)</f>
        <v>156.4</v>
      </c>
      <c r="D27" s="12">
        <f>VLOOKUP(A27,Dataset!A22:S61,18,FALSE)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0" sqref="I10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177</v>
      </c>
    </row>
    <row r="6" spans="1:10" ht="18" x14ac:dyDescent="0.35">
      <c r="A6" s="43" t="s">
        <v>152</v>
      </c>
      <c r="B6" s="40" t="s">
        <v>178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3" sqref="E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152</v>
      </c>
      <c r="B7" s="1" t="s">
        <v>180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>
        <v>20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M35"/>
  <sheetViews>
    <sheetView tabSelected="1" zoomScaleNormal="100" workbookViewId="0">
      <selection activeCell="G23" sqref="G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3" ht="21" x14ac:dyDescent="0.4">
      <c r="A1" s="42" t="s">
        <v>98</v>
      </c>
      <c r="B1" s="41" t="s">
        <v>174</v>
      </c>
    </row>
    <row r="3" spans="1:13" ht="14.4" x14ac:dyDescent="0.3">
      <c r="B3" s="1" t="s">
        <v>150</v>
      </c>
    </row>
    <row r="4" spans="1:13" ht="18" x14ac:dyDescent="0.35">
      <c r="A4" s="43" t="s">
        <v>53</v>
      </c>
      <c r="B4" s="1" t="s">
        <v>183</v>
      </c>
    </row>
    <row r="5" spans="1:13" ht="18" x14ac:dyDescent="0.35">
      <c r="A5" s="43" t="s">
        <v>152</v>
      </c>
      <c r="B5" s="1" t="s">
        <v>184</v>
      </c>
    </row>
    <row r="6" spans="1:13" ht="14.4" x14ac:dyDescent="0.3">
      <c r="A6" s="3"/>
      <c r="B6" s="1" t="s">
        <v>185</v>
      </c>
    </row>
    <row r="8" spans="1:13" ht="23.4" x14ac:dyDescent="0.45">
      <c r="A8" s="18" t="s">
        <v>161</v>
      </c>
      <c r="L8" s="18" t="s">
        <v>162</v>
      </c>
    </row>
    <row r="9" spans="1:13" ht="14.4" x14ac:dyDescent="0.3">
      <c r="A9" s="26"/>
      <c r="B9" s="26" t="s">
        <v>89</v>
      </c>
      <c r="C9" s="26" t="s">
        <v>90</v>
      </c>
      <c r="D9" s="26" t="s">
        <v>92</v>
      </c>
      <c r="E9" s="26" t="s">
        <v>93</v>
      </c>
      <c r="F9" s="26" t="s">
        <v>94</v>
      </c>
      <c r="G9" s="26" t="s">
        <v>95</v>
      </c>
      <c r="H9" s="26" t="s">
        <v>96</v>
      </c>
      <c r="I9" s="26" t="s">
        <v>97</v>
      </c>
      <c r="L9" s="19" t="s">
        <v>43</v>
      </c>
      <c r="M9" s="19" t="s">
        <v>99</v>
      </c>
    </row>
    <row r="10" spans="1:13" ht="14.4" x14ac:dyDescent="0.3">
      <c r="A10" s="26" t="s">
        <v>89</v>
      </c>
      <c r="B10" s="25">
        <v>-1</v>
      </c>
      <c r="C10" s="25">
        <v>95</v>
      </c>
      <c r="D10" s="25">
        <v>185</v>
      </c>
      <c r="E10" s="25">
        <v>255</v>
      </c>
      <c r="F10" s="25">
        <v>305</v>
      </c>
      <c r="G10" s="25">
        <v>415</v>
      </c>
      <c r="H10" s="25">
        <v>480</v>
      </c>
      <c r="I10" s="25">
        <v>525</v>
      </c>
      <c r="L10" s="12">
        <v>10100</v>
      </c>
      <c r="M10" s="12" t="s">
        <v>89</v>
      </c>
    </row>
    <row r="11" spans="1:13" ht="14.4" x14ac:dyDescent="0.3">
      <c r="A11" s="26" t="s">
        <v>90</v>
      </c>
      <c r="B11" s="25">
        <v>95</v>
      </c>
      <c r="C11" s="25">
        <v>-1</v>
      </c>
      <c r="D11" s="25">
        <v>90</v>
      </c>
      <c r="E11" s="25">
        <v>160</v>
      </c>
      <c r="F11" s="25">
        <v>210</v>
      </c>
      <c r="G11" s="25">
        <v>325</v>
      </c>
      <c r="H11" s="25">
        <v>390</v>
      </c>
      <c r="I11" s="25">
        <v>430</v>
      </c>
      <c r="L11" s="12">
        <v>10102</v>
      </c>
      <c r="M11" s="12" t="s">
        <v>90</v>
      </c>
    </row>
    <row r="12" spans="1:13" ht="14.4" x14ac:dyDescent="0.3">
      <c r="A12" s="26" t="s">
        <v>91</v>
      </c>
      <c r="B12" s="25">
        <v>-1</v>
      </c>
      <c r="C12" s="25">
        <v>-1</v>
      </c>
      <c r="D12" s="25">
        <v>60</v>
      </c>
      <c r="E12" s="25">
        <v>130</v>
      </c>
      <c r="F12" s="25">
        <v>180</v>
      </c>
      <c r="G12" s="25">
        <v>295</v>
      </c>
      <c r="H12" s="25">
        <v>355</v>
      </c>
      <c r="I12" s="25">
        <v>400</v>
      </c>
      <c r="L12" s="12">
        <v>10104</v>
      </c>
      <c r="M12" s="12" t="s">
        <v>91</v>
      </c>
    </row>
    <row r="13" spans="1:13" ht="14.4" x14ac:dyDescent="0.3">
      <c r="A13" s="26" t="s">
        <v>92</v>
      </c>
      <c r="B13" s="25">
        <v>185</v>
      </c>
      <c r="C13" s="25">
        <v>90</v>
      </c>
      <c r="D13" s="25">
        <v>-1</v>
      </c>
      <c r="E13" s="25">
        <v>70</v>
      </c>
      <c r="F13" s="25">
        <v>120</v>
      </c>
      <c r="G13" s="25">
        <v>235</v>
      </c>
      <c r="H13" s="25">
        <v>300</v>
      </c>
      <c r="I13" s="25">
        <v>340</v>
      </c>
      <c r="L13" s="12">
        <v>10106</v>
      </c>
      <c r="M13" s="12" t="s">
        <v>92</v>
      </c>
    </row>
    <row r="14" spans="1:13" ht="14.4" x14ac:dyDescent="0.3">
      <c r="A14" s="26" t="s">
        <v>93</v>
      </c>
      <c r="B14" s="25">
        <v>255</v>
      </c>
      <c r="C14" s="25">
        <v>160</v>
      </c>
      <c r="D14" s="25">
        <v>70</v>
      </c>
      <c r="E14" s="25">
        <v>-1</v>
      </c>
      <c r="F14" s="25">
        <v>50</v>
      </c>
      <c r="G14" s="25">
        <v>165</v>
      </c>
      <c r="H14" s="25">
        <v>230</v>
      </c>
      <c r="I14" s="25">
        <v>270</v>
      </c>
      <c r="L14" s="12">
        <v>10108</v>
      </c>
      <c r="M14" s="12" t="s">
        <v>93</v>
      </c>
    </row>
    <row r="15" spans="1:13" ht="14.4" x14ac:dyDescent="0.3">
      <c r="A15" s="26" t="s">
        <v>94</v>
      </c>
      <c r="B15" s="25">
        <v>305</v>
      </c>
      <c r="C15" s="25">
        <v>210</v>
      </c>
      <c r="D15" s="25">
        <v>120</v>
      </c>
      <c r="E15" s="25">
        <v>50</v>
      </c>
      <c r="F15" s="25">
        <v>-1</v>
      </c>
      <c r="G15" s="25">
        <v>115</v>
      </c>
      <c r="H15" s="25">
        <v>180</v>
      </c>
      <c r="I15" s="25">
        <v>220</v>
      </c>
      <c r="L15" s="12">
        <v>10110</v>
      </c>
      <c r="M15" s="12" t="s">
        <v>94</v>
      </c>
    </row>
    <row r="16" spans="1:13" ht="14.4" x14ac:dyDescent="0.3">
      <c r="A16" s="26" t="s">
        <v>95</v>
      </c>
      <c r="B16" s="25">
        <v>415</v>
      </c>
      <c r="C16" s="25">
        <v>325</v>
      </c>
      <c r="D16" s="25">
        <v>235</v>
      </c>
      <c r="E16" s="25">
        <v>165</v>
      </c>
      <c r="F16" s="25">
        <v>115</v>
      </c>
      <c r="G16" s="25">
        <v>-1</v>
      </c>
      <c r="H16" s="25">
        <v>65</v>
      </c>
      <c r="I16" s="25">
        <v>105</v>
      </c>
      <c r="L16" s="12">
        <v>10112</v>
      </c>
      <c r="M16" s="12" t="s">
        <v>95</v>
      </c>
    </row>
    <row r="17" spans="1:13" ht="14.4" x14ac:dyDescent="0.3">
      <c r="A17" s="26" t="s">
        <v>96</v>
      </c>
      <c r="B17" s="25">
        <v>480</v>
      </c>
      <c r="C17" s="25">
        <v>390</v>
      </c>
      <c r="D17" s="25">
        <v>300</v>
      </c>
      <c r="E17" s="25">
        <v>230</v>
      </c>
      <c r="F17" s="25">
        <v>180</v>
      </c>
      <c r="G17" s="25">
        <v>65</v>
      </c>
      <c r="H17" s="25">
        <v>-1</v>
      </c>
      <c r="I17" s="25">
        <v>40</v>
      </c>
      <c r="L17" s="12">
        <v>10114</v>
      </c>
      <c r="M17" s="12" t="s">
        <v>96</v>
      </c>
    </row>
    <row r="18" spans="1:13" ht="14.4" x14ac:dyDescent="0.3">
      <c r="A18" s="26" t="s">
        <v>97</v>
      </c>
      <c r="B18" s="25">
        <v>525</v>
      </c>
      <c r="C18" s="25">
        <v>430</v>
      </c>
      <c r="D18" s="25">
        <v>340</v>
      </c>
      <c r="E18" s="25">
        <v>270</v>
      </c>
      <c r="F18" s="25">
        <v>220</v>
      </c>
      <c r="G18" s="25">
        <v>105</v>
      </c>
      <c r="H18" s="25">
        <v>40</v>
      </c>
      <c r="I18" s="25">
        <v>-1</v>
      </c>
      <c r="L18" s="13">
        <v>10116</v>
      </c>
      <c r="M18" s="13" t="s">
        <v>97</v>
      </c>
    </row>
    <row r="21" spans="1:13" ht="23.4" x14ac:dyDescent="0.45">
      <c r="A21" s="18" t="s">
        <v>167</v>
      </c>
    </row>
    <row r="22" spans="1:13" ht="14.4" x14ac:dyDescent="0.3">
      <c r="A22" s="14" t="s">
        <v>100</v>
      </c>
      <c r="B22" s="17" t="s">
        <v>101</v>
      </c>
      <c r="C22" s="16" t="s">
        <v>102</v>
      </c>
      <c r="D22" s="25" t="s">
        <v>181</v>
      </c>
      <c r="E22" s="25" t="s">
        <v>182</v>
      </c>
    </row>
    <row r="23" spans="1:13" ht="14.4" x14ac:dyDescent="0.3">
      <c r="A23" s="7">
        <v>10100</v>
      </c>
      <c r="B23" s="12">
        <v>10102</v>
      </c>
      <c r="C23" s="44">
        <f>INDEX(B10:I18, MATCH(D23, $A$10:$A$18, 0), MATCH(E23, $B$9:$I$9, 0))</f>
        <v>95</v>
      </c>
      <c r="D23" s="25" t="str">
        <f>VLOOKUP(A23,$L$10:$M$18,2,FALSE)</f>
        <v>A</v>
      </c>
      <c r="E23" s="25" t="str">
        <f>VLOOKUP(B23,$L$10:$M$18,2,FALSE)</f>
        <v>B</v>
      </c>
    </row>
    <row r="24" spans="1:13" ht="14.4" x14ac:dyDescent="0.3">
      <c r="A24" s="7">
        <v>10100</v>
      </c>
      <c r="B24" s="12">
        <v>10104</v>
      </c>
      <c r="C24" s="44" t="e">
        <f t="shared" ref="C24:C35" si="0">INDEX(B11:I19, MATCH(D24, $A$10:$A$18, 0), MATCH(E24, $B$9:$I$9, 0))</f>
        <v>#N/A</v>
      </c>
      <c r="D24" s="25" t="str">
        <f t="shared" ref="D24:D35" si="1">VLOOKUP(A24,$L$10:$M$18,2,FALSE)</f>
        <v>A</v>
      </c>
      <c r="E24" s="25" t="str">
        <f t="shared" ref="E24:E35" si="2">VLOOKUP(B24,$L$10:$M$18,2,FALSE)</f>
        <v>C</v>
      </c>
    </row>
    <row r="25" spans="1:13" ht="14.4" x14ac:dyDescent="0.3">
      <c r="A25" s="7">
        <v>10108</v>
      </c>
      <c r="B25" s="12">
        <v>10102</v>
      </c>
      <c r="C25" s="44">
        <f t="shared" si="0"/>
        <v>325</v>
      </c>
      <c r="D25" s="25" t="str">
        <f t="shared" si="1"/>
        <v>E</v>
      </c>
      <c r="E25" s="25" t="str">
        <f t="shared" si="2"/>
        <v>B</v>
      </c>
    </row>
    <row r="26" spans="1:13" ht="14.4" x14ac:dyDescent="0.3">
      <c r="A26" s="7">
        <v>10100</v>
      </c>
      <c r="B26" s="12">
        <v>10106</v>
      </c>
      <c r="C26" s="44">
        <f t="shared" si="0"/>
        <v>-1</v>
      </c>
      <c r="D26" s="25" t="str">
        <f t="shared" si="1"/>
        <v>A</v>
      </c>
      <c r="E26" s="25" t="str">
        <f t="shared" si="2"/>
        <v>D</v>
      </c>
    </row>
    <row r="27" spans="1:13" ht="14.4" x14ac:dyDescent="0.3">
      <c r="A27" s="7">
        <v>10108</v>
      </c>
      <c r="B27" s="12">
        <v>10110</v>
      </c>
      <c r="C27" s="44">
        <f t="shared" si="0"/>
        <v>220</v>
      </c>
      <c r="D27" s="25" t="str">
        <f t="shared" si="1"/>
        <v>E</v>
      </c>
      <c r="E27" s="25" t="str">
        <f t="shared" si="2"/>
        <v>F</v>
      </c>
    </row>
    <row r="28" spans="1:13" ht="14.4" x14ac:dyDescent="0.3">
      <c r="A28" s="7">
        <v>10102</v>
      </c>
      <c r="B28" s="12">
        <v>10104</v>
      </c>
      <c r="C28" s="44" t="e">
        <f t="shared" si="0"/>
        <v>#N/A</v>
      </c>
      <c r="D28" s="25" t="str">
        <f t="shared" si="1"/>
        <v>B</v>
      </c>
      <c r="E28" s="25" t="str">
        <f t="shared" si="2"/>
        <v>C</v>
      </c>
    </row>
    <row r="29" spans="1:13" ht="14.4" x14ac:dyDescent="0.3">
      <c r="A29" s="7">
        <v>10106</v>
      </c>
      <c r="B29" s="12">
        <v>10108</v>
      </c>
      <c r="C29" s="44">
        <f t="shared" si="0"/>
        <v>0</v>
      </c>
      <c r="D29" s="25" t="str">
        <f t="shared" si="1"/>
        <v>D</v>
      </c>
      <c r="E29" s="25" t="str">
        <f t="shared" si="2"/>
        <v>E</v>
      </c>
    </row>
    <row r="30" spans="1:13" ht="14.4" x14ac:dyDescent="0.3">
      <c r="A30" s="7">
        <v>10102</v>
      </c>
      <c r="B30" s="12">
        <v>10106</v>
      </c>
      <c r="C30" s="44">
        <f t="shared" si="0"/>
        <v>340</v>
      </c>
      <c r="D30" s="25" t="str">
        <f t="shared" si="1"/>
        <v>B</v>
      </c>
      <c r="E30" s="25" t="str">
        <f t="shared" si="2"/>
        <v>D</v>
      </c>
    </row>
    <row r="31" spans="1:13" ht="14.4" x14ac:dyDescent="0.3">
      <c r="A31" s="7">
        <v>10110</v>
      </c>
      <c r="B31" s="12">
        <v>10114</v>
      </c>
      <c r="C31" s="44">
        <f t="shared" si="0"/>
        <v>0</v>
      </c>
      <c r="D31" s="25" t="str">
        <f t="shared" si="1"/>
        <v>F</v>
      </c>
      <c r="E31" s="25" t="str">
        <f t="shared" si="2"/>
        <v>H</v>
      </c>
    </row>
    <row r="32" spans="1:13" ht="14.4" x14ac:dyDescent="0.3">
      <c r="A32" s="7">
        <v>10104</v>
      </c>
      <c r="B32" s="12">
        <v>10106</v>
      </c>
      <c r="C32" s="44">
        <f t="shared" si="0"/>
        <v>0</v>
      </c>
      <c r="D32" s="25" t="str">
        <f t="shared" si="1"/>
        <v>C</v>
      </c>
      <c r="E32" s="25" t="str">
        <f t="shared" si="2"/>
        <v>D</v>
      </c>
    </row>
    <row r="33" spans="1:5" ht="14.4" x14ac:dyDescent="0.3">
      <c r="A33" s="7">
        <v>10110</v>
      </c>
      <c r="B33" s="12">
        <v>10112</v>
      </c>
      <c r="C33" s="44">
        <f t="shared" si="0"/>
        <v>0</v>
      </c>
      <c r="D33" s="25" t="str">
        <f t="shared" si="1"/>
        <v>F</v>
      </c>
      <c r="E33" s="25" t="str">
        <f t="shared" si="2"/>
        <v>G</v>
      </c>
    </row>
    <row r="34" spans="1:5" ht="14.4" x14ac:dyDescent="0.3">
      <c r="A34" s="7">
        <v>10100</v>
      </c>
      <c r="B34" s="12">
        <v>10114</v>
      </c>
      <c r="C34" s="44">
        <f t="shared" si="0"/>
        <v>0</v>
      </c>
      <c r="D34" s="25" t="str">
        <f t="shared" si="1"/>
        <v>A</v>
      </c>
      <c r="E34" s="25" t="str">
        <f t="shared" si="2"/>
        <v>H</v>
      </c>
    </row>
    <row r="35" spans="1:5" ht="14.4" x14ac:dyDescent="0.3">
      <c r="A35" s="9">
        <v>10112</v>
      </c>
      <c r="B35" s="13">
        <v>10116</v>
      </c>
      <c r="C35" s="44">
        <f t="shared" si="0"/>
        <v>0</v>
      </c>
      <c r="D35" s="25" t="str">
        <f t="shared" si="1"/>
        <v>G</v>
      </c>
      <c r="E35" s="25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Shreya Narayan</cp:lastModifiedBy>
  <dcterms:created xsi:type="dcterms:W3CDTF">2015-02-10T17:33:11Z</dcterms:created>
  <dcterms:modified xsi:type="dcterms:W3CDTF">2024-10-24T19:29:20Z</dcterms:modified>
</cp:coreProperties>
</file>